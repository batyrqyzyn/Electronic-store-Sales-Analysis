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4ffb1ae95fc907/"/>
    </mc:Choice>
  </mc:AlternateContent>
  <xr:revisionPtr revIDLastSave="0" documentId="8_{D13BCF35-7F09-4059-A553-D191566EE996}" xr6:coauthVersionLast="47" xr6:coauthVersionMax="47" xr10:uidLastSave="{00000000-0000-0000-0000-000000000000}"/>
  <bookViews>
    <workbookView xWindow="-108" yWindow="-108" windowWidth="23256" windowHeight="12456" xr2:uid="{8CB23FD5-DED7-4330-89B9-D2D91E5EE033}"/>
  </bookViews>
  <sheets>
    <sheet name="priv.gr.soldp" sheetId="2" r:id="rId1"/>
    <sheet name="priv.gr.clients.o" sheetId="3" r:id="rId2"/>
    <sheet name="priv.gr.cities" sheetId="4" r:id="rId3"/>
    <sheet name="priv.gr.date" sheetId="5" r:id="rId4"/>
    <sheet name="sold_products" sheetId="7" r:id="rId5"/>
    <sheet name="date" sheetId="6" r:id="rId6"/>
    <sheet name="cilentsorders" sheetId="9" r:id="rId7"/>
    <sheet name="cities" sheetId="10" r:id="rId8"/>
  </sheets>
  <calcPr calcId="191029"/>
  <pivotCaches>
    <pivotCache cacheId="3" r:id="rId9"/>
    <pivotCache cacheId="7" r:id="rId10"/>
    <pivotCache cacheId="11" r:id="rId11"/>
    <pivotCache cacheId="1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3" l="1"/>
</calcChain>
</file>

<file path=xl/sharedStrings.xml><?xml version="1.0" encoding="utf-8"?>
<sst xmlns="http://schemas.openxmlformats.org/spreadsheetml/2006/main" count="58" uniqueCount="36">
  <si>
    <t>iPhone 16</t>
  </si>
  <si>
    <t>iPhone 16 pro max</t>
  </si>
  <si>
    <t>iPhone 16 pro</t>
  </si>
  <si>
    <t>order_id</t>
  </si>
  <si>
    <t>product_name</t>
  </si>
  <si>
    <t>quantity</t>
  </si>
  <si>
    <t>Grand Total</t>
  </si>
  <si>
    <t>product</t>
  </si>
  <si>
    <t>total_sold</t>
  </si>
  <si>
    <t>Aigerim</t>
  </si>
  <si>
    <t>Nazerke</t>
  </si>
  <si>
    <t>Aibek</t>
  </si>
  <si>
    <t>Madina</t>
  </si>
  <si>
    <t>Alikhan</t>
  </si>
  <si>
    <t>ID</t>
  </si>
  <si>
    <t>name</t>
  </si>
  <si>
    <t>total_product</t>
  </si>
  <si>
    <t>Sum of total_product</t>
  </si>
  <si>
    <t xml:space="preserve">MAX: </t>
  </si>
  <si>
    <t>Aktobe</t>
  </si>
  <si>
    <t>Astana</t>
  </si>
  <si>
    <t>Karaganda</t>
  </si>
  <si>
    <t>LA</t>
  </si>
  <si>
    <t>Taraz</t>
  </si>
  <si>
    <t>city</t>
  </si>
  <si>
    <t>total_orders</t>
  </si>
  <si>
    <t>Sum of order_id</t>
  </si>
  <si>
    <t>Sum of total_orders</t>
  </si>
  <si>
    <t>order_date</t>
  </si>
  <si>
    <t>quantity_of_orders</t>
  </si>
  <si>
    <t>янв</t>
  </si>
  <si>
    <t>мар</t>
  </si>
  <si>
    <t>апр</t>
  </si>
  <si>
    <t>май</t>
  </si>
  <si>
    <t>Sum of quantity_of_orders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</si>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</sst>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[Sales_db_analys.xlsx]priv.gr.soldp!PivotTable1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'priv.gr.soldp'!$B$3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'priv.gr.soldp'!$A$4:$A$7</c:f>
              <c:strCache>
                <c:ptCount val="3"/>
                <c:pt idx="0">
                  <c:v>iPhone 16</c:v>
                </c:pt>
                <c:pt idx="1">
                  <c:v>iPhone 16 pro</c:v>
                </c:pt>
                <c:pt idx="2">
                  <c:v>iPhone 16 pro max</c:v>
                </c:pt>
              </c:strCache>
            </c:strRef>
          </c:cat>
          <c:val>
            <c:numRef>
              <c:f>'priv.gr.soldp'!$B$4:$B$7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E-45CC-A23F-4FEC6A002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648248"/>
        <c:axId val="146258264"/>
      </c:barChart>
      <c:catAx>
        <c:axId val="38164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8264"/>
        <c:crosses val="autoZero"/>
        <c:auto val="1"/>
        <c:lblAlgn val="ctr"/>
        <c:lblOffset val="100"/>
        <c:noMultiLvlLbl val="0"/>
      </c:catAx>
      <c:valAx>
        <c:axId val="1462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64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[Sales_db_analys.xlsx]priv.gr.clients.o!PivotTable2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'priv.gr.clients.o'!$B$3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'priv.gr.clients.o'!$A$4:$A$9</c:f>
              <c:strCache>
                <c:ptCount val="5"/>
                <c:pt idx="0">
                  <c:v>Aibek</c:v>
                </c:pt>
                <c:pt idx="1">
                  <c:v>Aigerim</c:v>
                </c:pt>
                <c:pt idx="2">
                  <c:v>Alikhan</c:v>
                </c:pt>
                <c:pt idx="3">
                  <c:v>Madina</c:v>
                </c:pt>
                <c:pt idx="4">
                  <c:v>Nazerke</c:v>
                </c:pt>
              </c:strCache>
            </c:strRef>
          </c:cat>
          <c:val>
            <c:numRef>
              <c:f>'priv.gr.clients.o'!$B$4:$B$9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7-497B-9AD0-202054603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431568"/>
        <c:axId val="687427608"/>
      </c:barChart>
      <c:catAx>
        <c:axId val="68743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27608"/>
        <c:crosses val="autoZero"/>
        <c:auto val="1"/>
        <c:lblAlgn val="ctr"/>
        <c:lblOffset val="100"/>
        <c:noMultiLvlLbl val="0"/>
      </c:catAx>
      <c:valAx>
        <c:axId val="68742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43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[Sales_db_analys.xlsx]priv.gr.cities!PivotTable3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'priv.gr.cities'!$B$3</c:f>
              <c:strCache>
                <c:ptCount val="1"/>
                <c:pt idx="0">
                  <c:v>Sum of order_id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'priv.gr.cities'!$A$4:$A$9</c:f>
              <c:strCache>
                <c:ptCount val="5"/>
                <c:pt idx="0">
                  <c:v>Aktobe</c:v>
                </c:pt>
                <c:pt idx="1">
                  <c:v>Astana</c:v>
                </c:pt>
                <c:pt idx="2">
                  <c:v>Karaganda</c:v>
                </c:pt>
                <c:pt idx="3">
                  <c:v>LA</c:v>
                </c:pt>
                <c:pt idx="4">
                  <c:v>Taraz</c:v>
                </c:pt>
              </c:strCache>
            </c:strRef>
          </c:cat>
          <c:val>
            <c:numRef>
              <c:f>'priv.gr.cities'!$B$4:$B$9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9-485D-82E7-F1B73A6D03E4}"/>
            </c:ext>
          </c:extLst>
        </c:ser>
        <c:ser>
          <c:idx val="1"/>
          <c:order val="1"/>
          <c:tx>
            <c:strRef>
              <c:f>'priv.gr.cities'!$C$3</c:f>
              <c:strCache>
                <c:ptCount val="1"/>
                <c:pt idx="0">
                  <c:v>Sum of total_orders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'priv.gr.cities'!$A$4:$A$9</c:f>
              <c:strCache>
                <c:ptCount val="5"/>
                <c:pt idx="0">
                  <c:v>Aktobe</c:v>
                </c:pt>
                <c:pt idx="1">
                  <c:v>Astana</c:v>
                </c:pt>
                <c:pt idx="2">
                  <c:v>Karaganda</c:v>
                </c:pt>
                <c:pt idx="3">
                  <c:v>LA</c:v>
                </c:pt>
                <c:pt idx="4">
                  <c:v>Taraz</c:v>
                </c:pt>
              </c:strCache>
            </c:strRef>
          </c:cat>
          <c:val>
            <c:numRef>
              <c:f>'priv.gr.cities'!$C$4:$C$9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9-485D-82E7-F1B73A6D0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056512"/>
        <c:axId val="732046072"/>
      </c:barChart>
      <c:catAx>
        <c:axId val="7320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46072"/>
        <c:crosses val="autoZero"/>
        <c:auto val="1"/>
        <c:lblAlgn val="ctr"/>
        <c:lblOffset val="100"/>
        <c:noMultiLvlLbl val="0"/>
      </c:catAx>
      <c:valAx>
        <c:axId val="73204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5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[Sales_db_analys.xlsx]priv.gr.date!PivotTable4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'priv.gr.date'!$B$3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'priv.gr.date'!$A$4:$A$8</c:f>
              <c:strCache>
                <c:ptCount val="4"/>
                <c:pt idx="0">
                  <c:v>янв</c:v>
                </c:pt>
                <c:pt idx="1">
                  <c:v>мар</c:v>
                </c:pt>
                <c:pt idx="2">
                  <c:v>апр</c:v>
                </c:pt>
                <c:pt idx="3">
                  <c:v>май</c:v>
                </c:pt>
              </c:strCache>
            </c:strRef>
          </c:cat>
          <c:val>
            <c:numRef>
              <c:f>'priv.gr.date'!$B$4:$B$8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8-4C37-AB7D-20A12F392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055432"/>
        <c:axId val="732054352"/>
      </c:lineChart>
      <c:catAx>
        <c:axId val="73205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54352"/>
        <c:crosses val="autoZero"/>
        <c:auto val="1"/>
        <c:lblAlgn val="ctr"/>
        <c:lblOffset val="100"/>
        <c:noMultiLvlLbl val="0"/>
      </c:catAx>
      <c:valAx>
        <c:axId val="7320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5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5</xdr:row>
      <xdr:rowOff>80010</xdr:rowOff>
    </xdr:from>
    <xdr:to>
      <xdr:col>11</xdr:col>
      <xdr:colOff>182880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FE805-9778-D1AB-5166-89C7420DB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1013460</xdr:colOff>
      <xdr:row>5</xdr:row>
      <xdr:rowOff>80010</xdr:rowOff>
    </xdr:from>
    <xdr:to>
      <xdr:col>10</xdr:col>
      <xdr:colOff>53340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3B8D2-B4CA-AF58-8406-E1747514F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5</xdr:row>
      <xdr:rowOff>80010</xdr:rowOff>
    </xdr:from>
    <xdr:to>
      <xdr:col>10</xdr:col>
      <xdr:colOff>563880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373BD-69F8-38C7-5470-DB2381D76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5</xdr:row>
      <xdr:rowOff>80010</xdr:rowOff>
    </xdr:from>
    <xdr:to>
      <xdr:col>10</xdr:col>
      <xdr:colOff>228600</xdr:colOff>
      <xdr:row>20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CCA1FA-FACA-951B-1C30-4359DDA47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2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2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2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2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6.736341666663" createdVersion="8" refreshedVersion="8" minRefreshableVersion="3" recordCount="6" xr:uid="{1726E059-0A64-4C21-88EE-D04291494B3A}">
  <cacheSource type="worksheet">
    <worksheetSource ref="B7:C7" sheet="Sheet1" r:id="rId2"/>
  </cacheSource>
  <cacheFields count="2">
    <cacheField name="product_name" numFmtId="0">
      <sharedItems count="3">
        <s v="iPhone 16"/>
        <s v="iPhone 16 pro max"/>
        <s v="iPhone 16 pro"/>
      </sharedItems>
    </cacheField>
    <cacheField name="quantit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6.741915625003" createdVersion="8" refreshedVersion="8" minRefreshableVersion="3" recordCount="5" xr:uid="{00D2AE90-E874-4AA3-AAD2-0160E0DD100C}">
  <cacheSource type="worksheet">
    <worksheetSource ref="B1:B6" sheet="Sheet1" r:id="rId2"/>
  </cacheSource>
  <cacheFields count="3">
    <cacheField name="ID" numFmtId="0">
      <sharedItems containsSemiMixedTypes="0" containsString="0" containsNumber="1" containsInteger="1" minValue="1" maxValue="7"/>
    </cacheField>
    <cacheField name="name" numFmtId="0">
      <sharedItems count="5">
        <s v="Aigerim"/>
        <s v="Nazerke"/>
        <s v="Aibek"/>
        <s v="Madina"/>
        <s v="Alikhan"/>
      </sharedItems>
    </cacheField>
    <cacheField name="total_product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6.747445370369" createdVersion="8" refreshedVersion="8" minRefreshableVersion="3" recordCount="5" xr:uid="{3F56B5F8-D1F8-4E3A-B115-3FB003A5DB7E}">
  <cacheSource type="worksheet">
    <worksheetSource ref="C1:E6" sheet="Sheet1" r:id="rId2"/>
  </cacheSource>
  <cacheFields count="3">
    <cacheField name="order_id" numFmtId="0">
      <sharedItems containsSemiMixedTypes="0" containsString="0" containsNumber="1" containsInteger="1" minValue="1" maxValue="5"/>
    </cacheField>
    <cacheField name="city" numFmtId="0">
      <sharedItems count="5">
        <s v="Aktobe"/>
        <s v="Astana"/>
        <s v="Karaganda"/>
        <s v="LA"/>
        <s v="Taraz"/>
      </sharedItems>
    </cacheField>
    <cacheField name="total_orders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6.759702777781" createdVersion="8" refreshedVersion="8" minRefreshableVersion="3" recordCount="5" xr:uid="{BA31DEA0-6FE3-4300-AA08-7BD42F81F4ED}">
  <cacheSource type="worksheet">
    <worksheetSource ref="G12:H17" sheet="Sheet1" r:id="rId2"/>
  </cacheSource>
  <cacheFields count="4">
    <cacheField name="order_date" numFmtId="14">
      <sharedItems containsSemiMixedTypes="0" containsNonDate="0" containsDate="1" containsString="0" minDate="2025-01-16T00:00:00" maxDate="2025-05-30T00:00:00" count="5">
        <d v="2025-01-16T00:00:00"/>
        <d v="2025-01-17T00:00:00"/>
        <d v="2025-03-19T00:00:00"/>
        <d v="2025-04-14T00:00:00"/>
        <d v="2025-05-29T00:00:00"/>
      </sharedItems>
      <fieldGroup par="3"/>
    </cacheField>
    <cacheField name="quantity_of_orders" numFmtId="0">
      <sharedItems containsSemiMixedTypes="0" containsString="0" containsNumber="1" containsInteger="1" minValue="1" maxValue="2"/>
    </cacheField>
    <cacheField name="Days (order_date)" numFmtId="0" databaseField="0">
      <fieldGroup base="0">
        <rangePr groupBy="days" startDate="2025-01-16T00:00:00" endDate="2025-05-30T00:00:00"/>
        <groupItems count="368">
          <s v="&lt;16.01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05.2025"/>
        </groupItems>
      </fieldGroup>
    </cacheField>
    <cacheField name="Months (order_date)" numFmtId="0" databaseField="0">
      <fieldGroup base="0">
        <rangePr groupBy="months" startDate="2025-01-16T00:00:00" endDate="2025-05-30T00:00:00"/>
        <groupItems count="14">
          <s v="&lt;16.01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05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"/>
  </r>
  <r>
    <x v="1"/>
    <n v="1"/>
  </r>
  <r>
    <x v="2"/>
    <n v="1"/>
  </r>
  <r>
    <x v="1"/>
    <n v="3"/>
  </r>
  <r>
    <x v="0"/>
    <n v="1"/>
  </r>
  <r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1"/>
  </r>
  <r>
    <n v="2"/>
    <x v="1"/>
    <n v="1"/>
  </r>
  <r>
    <n v="5"/>
    <x v="2"/>
    <n v="2"/>
  </r>
  <r>
    <n v="6"/>
    <x v="3"/>
    <n v="3"/>
  </r>
  <r>
    <n v="7"/>
    <x v="4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5"/>
    <x v="0"/>
    <n v="3"/>
  </r>
  <r>
    <n v="1"/>
    <x v="1"/>
    <n v="1"/>
  </r>
  <r>
    <n v="3"/>
    <x v="2"/>
    <n v="2"/>
  </r>
  <r>
    <n v="2"/>
    <x v="3"/>
    <n v="1"/>
  </r>
  <r>
    <n v="4"/>
    <x v="4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"/>
  </r>
  <r>
    <x v="1"/>
    <n v="1"/>
  </r>
  <r>
    <x v="2"/>
    <n v="2"/>
  </r>
  <r>
    <x v="3"/>
    <n v="2"/>
  </r>
  <r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25BB7-D804-4193-831B-6139D8F921B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product">
  <location ref="A3:B7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sold" fld="1" baseField="0" baseItem="0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7B075-0CE2-42E8-A23F-5160B0C219A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name">
  <location ref="A3:B9" firstHeaderRow="1" firstDataRow="1" firstDataCol="1"/>
  <pivotFields count="3"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oduct" fld="2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75416-2D6D-4F68-AF9A-5D109F3B0D4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ity">
  <location ref="A3:C9" firstHeaderRow="0" firstDataRow="1" firstDataCol="1"/>
  <pivotFields count="3"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id" fld="0" baseField="0" baseItem="0"/>
    <dataField name="Sum of total_orders" fld="2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C0696-FDCF-4CBF-971E-5203DC8EFFA3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date">
  <location ref="A3:B8" firstHeaderRow="1" firstDataRow="1" firstDataCol="1"/>
  <pivotFields count="4">
    <pivotField axis="axisRow" numFmtId="14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5"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quantity_of_orders" fld="1" baseField="0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AD3F-1AA9-45D3-BBE0-FF6DC18C7820}">
  <dimension ref="A3:B7"/>
  <sheetViews>
    <sheetView tabSelected="1" workbookViewId="0">
      <selection activeCell="B26" sqref="B26"/>
    </sheetView>
  </sheetViews>
  <sheetFormatPr defaultRowHeight="14.4" x14ac:dyDescent="0.3"/>
  <cols>
    <col min="1" max="1" width="15.6640625" bestFit="1" customWidth="1"/>
    <col min="2" max="2" width="14" bestFit="1" customWidth="1"/>
  </cols>
  <sheetData>
    <row r="3" spans="1:2" x14ac:dyDescent="0.3">
      <c r="A3" s="2" t="s">
        <v>7</v>
      </c>
      <c r="B3" t="s">
        <v>8</v>
      </c>
    </row>
    <row r="4" spans="1:2" x14ac:dyDescent="0.3">
      <c r="A4" s="3" t="s">
        <v>0</v>
      </c>
      <c r="B4" s="4">
        <v>2</v>
      </c>
    </row>
    <row r="5" spans="1:2" x14ac:dyDescent="0.3">
      <c r="A5" s="3" t="s">
        <v>2</v>
      </c>
      <c r="B5" s="4">
        <v>1</v>
      </c>
    </row>
    <row r="6" spans="1:2" x14ac:dyDescent="0.3">
      <c r="A6" s="3" t="s">
        <v>1</v>
      </c>
      <c r="B6" s="4">
        <v>5</v>
      </c>
    </row>
    <row r="7" spans="1:2" x14ac:dyDescent="0.3">
      <c r="A7" s="3" t="s">
        <v>6</v>
      </c>
      <c r="B7" s="4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4DB7-B22E-42E3-AA59-65EBB91DE8DA}">
  <dimension ref="A3:B14"/>
  <sheetViews>
    <sheetView workbookViewId="0">
      <selection activeCell="E4" sqref="E4"/>
    </sheetView>
  </sheetViews>
  <sheetFormatPr defaultRowHeight="14.4" x14ac:dyDescent="0.3"/>
  <cols>
    <col min="1" max="1" width="12.44140625" bestFit="1" customWidth="1"/>
    <col min="2" max="3" width="18.44140625" bestFit="1" customWidth="1"/>
  </cols>
  <sheetData>
    <row r="3" spans="1:2" x14ac:dyDescent="0.3">
      <c r="A3" s="2" t="s">
        <v>15</v>
      </c>
      <c r="B3" t="s">
        <v>17</v>
      </c>
    </row>
    <row r="4" spans="1:2" x14ac:dyDescent="0.3">
      <c r="A4" s="3" t="s">
        <v>11</v>
      </c>
      <c r="B4" s="4">
        <v>2</v>
      </c>
    </row>
    <row r="5" spans="1:2" x14ac:dyDescent="0.3">
      <c r="A5" s="3" t="s">
        <v>9</v>
      </c>
      <c r="B5" s="4">
        <v>1</v>
      </c>
    </row>
    <row r="6" spans="1:2" x14ac:dyDescent="0.3">
      <c r="A6" s="3" t="s">
        <v>13</v>
      </c>
      <c r="B6" s="4">
        <v>1</v>
      </c>
    </row>
    <row r="7" spans="1:2" x14ac:dyDescent="0.3">
      <c r="A7" s="3" t="s">
        <v>12</v>
      </c>
      <c r="B7" s="4">
        <v>3</v>
      </c>
    </row>
    <row r="8" spans="1:2" x14ac:dyDescent="0.3">
      <c r="A8" s="3" t="s">
        <v>10</v>
      </c>
      <c r="B8" s="4">
        <v>1</v>
      </c>
    </row>
    <row r="9" spans="1:2" x14ac:dyDescent="0.3">
      <c r="A9" s="3" t="s">
        <v>6</v>
      </c>
      <c r="B9" s="4">
        <v>8</v>
      </c>
    </row>
    <row r="13" spans="1:2" x14ac:dyDescent="0.3">
      <c r="A13" t="s">
        <v>18</v>
      </c>
    </row>
    <row r="14" spans="1:2" x14ac:dyDescent="0.3">
      <c r="A14" t="str">
        <f>_xlfn.XLOOKUP(GETPIVOTDATA("total_product",$A$3,"name","Madina"), B4:B8, A4:A8)</f>
        <v>Madina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36B0-154B-4EBD-AFBD-B80C1E24CA89}">
  <dimension ref="A3:C9"/>
  <sheetViews>
    <sheetView workbookViewId="0">
      <selection activeCell="A26" sqref="A26"/>
    </sheetView>
  </sheetViews>
  <sheetFormatPr defaultRowHeight="14.4" x14ac:dyDescent="0.3"/>
  <cols>
    <col min="1" max="1" width="12.44140625" bestFit="1" customWidth="1"/>
    <col min="2" max="2" width="14" bestFit="1" customWidth="1"/>
    <col min="3" max="3" width="17.21875" bestFit="1" customWidth="1"/>
  </cols>
  <sheetData>
    <row r="3" spans="1:3" x14ac:dyDescent="0.3">
      <c r="A3" s="2" t="s">
        <v>24</v>
      </c>
      <c r="B3" t="s">
        <v>26</v>
      </c>
      <c r="C3" t="s">
        <v>27</v>
      </c>
    </row>
    <row r="4" spans="1:3" x14ac:dyDescent="0.3">
      <c r="A4" s="3" t="s">
        <v>19</v>
      </c>
      <c r="B4" s="4">
        <v>5</v>
      </c>
      <c r="C4" s="4">
        <v>3</v>
      </c>
    </row>
    <row r="5" spans="1:3" x14ac:dyDescent="0.3">
      <c r="A5" s="3" t="s">
        <v>20</v>
      </c>
      <c r="B5" s="4">
        <v>1</v>
      </c>
      <c r="C5" s="4">
        <v>1</v>
      </c>
    </row>
    <row r="6" spans="1:3" x14ac:dyDescent="0.3">
      <c r="A6" s="3" t="s">
        <v>21</v>
      </c>
      <c r="B6" s="4">
        <v>3</v>
      </c>
      <c r="C6" s="4">
        <v>2</v>
      </c>
    </row>
    <row r="7" spans="1:3" x14ac:dyDescent="0.3">
      <c r="A7" s="3" t="s">
        <v>22</v>
      </c>
      <c r="B7" s="4">
        <v>2</v>
      </c>
      <c r="C7" s="4">
        <v>1</v>
      </c>
    </row>
    <row r="8" spans="1:3" x14ac:dyDescent="0.3">
      <c r="A8" s="3" t="s">
        <v>23</v>
      </c>
      <c r="B8" s="4">
        <v>4</v>
      </c>
      <c r="C8" s="4">
        <v>1</v>
      </c>
    </row>
    <row r="9" spans="1:3" x14ac:dyDescent="0.3">
      <c r="A9" s="3" t="s">
        <v>6</v>
      </c>
      <c r="B9" s="4">
        <v>15</v>
      </c>
      <c r="C9" s="4">
        <v>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371D-211A-40D7-9F3B-46DD79D71964}">
  <dimension ref="A3:B8"/>
  <sheetViews>
    <sheetView workbookViewId="0">
      <selection activeCell="A3" sqref="A3:B8"/>
    </sheetView>
  </sheetViews>
  <sheetFormatPr defaultRowHeight="14.4" x14ac:dyDescent="0.3"/>
  <cols>
    <col min="1" max="1" width="12.44140625" bestFit="1" customWidth="1"/>
    <col min="2" max="2" width="22.6640625" bestFit="1" customWidth="1"/>
  </cols>
  <sheetData>
    <row r="3" spans="1:2" x14ac:dyDescent="0.3">
      <c r="A3" s="2" t="s">
        <v>35</v>
      </c>
      <c r="B3" t="s">
        <v>34</v>
      </c>
    </row>
    <row r="4" spans="1:2" x14ac:dyDescent="0.3">
      <c r="A4" s="3" t="s">
        <v>30</v>
      </c>
      <c r="B4" s="4">
        <v>2</v>
      </c>
    </row>
    <row r="5" spans="1:2" x14ac:dyDescent="0.3">
      <c r="A5" s="3" t="s">
        <v>31</v>
      </c>
      <c r="B5" s="4">
        <v>2</v>
      </c>
    </row>
    <row r="6" spans="1:2" x14ac:dyDescent="0.3">
      <c r="A6" s="3" t="s">
        <v>32</v>
      </c>
      <c r="B6" s="4">
        <v>2</v>
      </c>
    </row>
    <row r="7" spans="1:2" x14ac:dyDescent="0.3">
      <c r="A7" s="3" t="s">
        <v>33</v>
      </c>
      <c r="B7" s="4">
        <v>1</v>
      </c>
    </row>
    <row r="8" spans="1:2" x14ac:dyDescent="0.3">
      <c r="A8" s="3" t="s">
        <v>6</v>
      </c>
      <c r="B8" s="4">
        <v>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073C-D12B-474A-9D10-49514EAE117E}">
  <dimension ref="A1:C7"/>
  <sheetViews>
    <sheetView workbookViewId="0">
      <selection activeCell="E13" sqref="E13"/>
    </sheetView>
  </sheetViews>
  <sheetFormatPr defaultRowHeight="14.4" x14ac:dyDescent="0.3"/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>
        <v>3</v>
      </c>
      <c r="B2" t="s">
        <v>0</v>
      </c>
      <c r="C2">
        <v>1</v>
      </c>
    </row>
    <row r="3" spans="1:3" x14ac:dyDescent="0.3">
      <c r="A3">
        <v>3</v>
      </c>
      <c r="B3" t="s">
        <v>1</v>
      </c>
      <c r="C3">
        <v>1</v>
      </c>
    </row>
    <row r="4" spans="1:3" x14ac:dyDescent="0.3">
      <c r="A4">
        <v>2</v>
      </c>
      <c r="B4" t="s">
        <v>2</v>
      </c>
      <c r="C4">
        <v>1</v>
      </c>
    </row>
    <row r="5" spans="1:3" x14ac:dyDescent="0.3">
      <c r="A5">
        <v>5</v>
      </c>
      <c r="B5" t="s">
        <v>1</v>
      </c>
      <c r="C5">
        <v>3</v>
      </c>
    </row>
    <row r="6" spans="1:3" x14ac:dyDescent="0.3">
      <c r="A6">
        <v>4</v>
      </c>
      <c r="B6" t="s">
        <v>0</v>
      </c>
      <c r="C6">
        <v>1</v>
      </c>
    </row>
    <row r="7" spans="1:3" x14ac:dyDescent="0.3">
      <c r="A7">
        <v>1</v>
      </c>
      <c r="B7" t="s">
        <v>1</v>
      </c>
      <c r="C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2516-492D-4E4C-A234-968F798E55F3}">
  <dimension ref="A1:B6"/>
  <sheetViews>
    <sheetView workbookViewId="0">
      <selection activeCell="C4" sqref="C4"/>
    </sheetView>
  </sheetViews>
  <sheetFormatPr defaultRowHeight="14.4" x14ac:dyDescent="0.3"/>
  <cols>
    <col min="1" max="1" width="10.109375" bestFit="1" customWidth="1"/>
    <col min="2" max="2" width="17.109375" customWidth="1"/>
  </cols>
  <sheetData>
    <row r="1" spans="1:2" x14ac:dyDescent="0.3">
      <c r="A1" s="1" t="s">
        <v>28</v>
      </c>
      <c r="B1" s="1" t="s">
        <v>29</v>
      </c>
    </row>
    <row r="2" spans="1:2" x14ac:dyDescent="0.3">
      <c r="A2" s="5">
        <v>45673</v>
      </c>
      <c r="B2">
        <v>1</v>
      </c>
    </row>
    <row r="3" spans="1:2" x14ac:dyDescent="0.3">
      <c r="A3" s="5">
        <v>45674</v>
      </c>
      <c r="B3">
        <v>1</v>
      </c>
    </row>
    <row r="4" spans="1:2" x14ac:dyDescent="0.3">
      <c r="A4" s="5">
        <v>45735</v>
      </c>
      <c r="B4">
        <v>2</v>
      </c>
    </row>
    <row r="5" spans="1:2" x14ac:dyDescent="0.3">
      <c r="A5" s="5">
        <v>45761</v>
      </c>
      <c r="B5">
        <v>2</v>
      </c>
    </row>
    <row r="6" spans="1:2" x14ac:dyDescent="0.3">
      <c r="A6" s="5">
        <v>45806</v>
      </c>
      <c r="B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D8F4-9908-4C22-9CD5-3BB15E007F93}">
  <dimension ref="A1:C6"/>
  <sheetViews>
    <sheetView workbookViewId="0">
      <selection sqref="A1:C6"/>
    </sheetView>
  </sheetViews>
  <sheetFormatPr defaultRowHeight="14.4" x14ac:dyDescent="0.3"/>
  <cols>
    <col min="3" max="3" width="12.6640625" customWidth="1"/>
  </cols>
  <sheetData>
    <row r="1" spans="1:3" x14ac:dyDescent="0.3">
      <c r="A1" s="1" t="s">
        <v>14</v>
      </c>
      <c r="B1" s="1" t="s">
        <v>15</v>
      </c>
      <c r="C1" s="1" t="s">
        <v>16</v>
      </c>
    </row>
    <row r="2" spans="1:3" x14ac:dyDescent="0.3">
      <c r="A2">
        <v>1</v>
      </c>
      <c r="B2" t="s">
        <v>9</v>
      </c>
      <c r="C2">
        <v>1</v>
      </c>
    </row>
    <row r="3" spans="1:3" x14ac:dyDescent="0.3">
      <c r="A3">
        <v>2</v>
      </c>
      <c r="B3" t="s">
        <v>10</v>
      </c>
      <c r="C3">
        <v>1</v>
      </c>
    </row>
    <row r="4" spans="1:3" x14ac:dyDescent="0.3">
      <c r="A4">
        <v>5</v>
      </c>
      <c r="B4" t="s">
        <v>11</v>
      </c>
      <c r="C4">
        <v>2</v>
      </c>
    </row>
    <row r="5" spans="1:3" x14ac:dyDescent="0.3">
      <c r="A5">
        <v>6</v>
      </c>
      <c r="B5" t="s">
        <v>12</v>
      </c>
      <c r="C5">
        <v>3</v>
      </c>
    </row>
    <row r="6" spans="1:3" x14ac:dyDescent="0.3">
      <c r="A6">
        <v>7</v>
      </c>
      <c r="B6" t="s">
        <v>13</v>
      </c>
      <c r="C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161A-2D20-4990-B467-3B0CC495F628}">
  <dimension ref="A1:C6"/>
  <sheetViews>
    <sheetView workbookViewId="0">
      <selection sqref="A1:C6"/>
    </sheetView>
  </sheetViews>
  <sheetFormatPr defaultRowHeight="14.4" x14ac:dyDescent="0.3"/>
  <cols>
    <col min="3" max="3" width="10.5546875" customWidth="1"/>
  </cols>
  <sheetData>
    <row r="1" spans="1:3" x14ac:dyDescent="0.3">
      <c r="A1" s="1" t="s">
        <v>3</v>
      </c>
      <c r="B1" s="1" t="s">
        <v>24</v>
      </c>
      <c r="C1" s="1" t="s">
        <v>25</v>
      </c>
    </row>
    <row r="2" spans="1:3" x14ac:dyDescent="0.3">
      <c r="A2">
        <v>5</v>
      </c>
      <c r="B2" t="s">
        <v>19</v>
      </c>
      <c r="C2">
        <v>3</v>
      </c>
    </row>
    <row r="3" spans="1:3" x14ac:dyDescent="0.3">
      <c r="A3">
        <v>1</v>
      </c>
      <c r="B3" t="s">
        <v>20</v>
      </c>
      <c r="C3">
        <v>1</v>
      </c>
    </row>
    <row r="4" spans="1:3" x14ac:dyDescent="0.3">
      <c r="A4">
        <v>3</v>
      </c>
      <c r="B4" t="s">
        <v>21</v>
      </c>
      <c r="C4">
        <v>2</v>
      </c>
    </row>
    <row r="5" spans="1:3" x14ac:dyDescent="0.3">
      <c r="A5">
        <v>2</v>
      </c>
      <c r="B5" t="s">
        <v>22</v>
      </c>
      <c r="C5">
        <v>1</v>
      </c>
    </row>
    <row r="6" spans="1:3" x14ac:dyDescent="0.3">
      <c r="A6">
        <v>4</v>
      </c>
      <c r="B6" t="s">
        <v>23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priv.gr.soldp</vt:lpstr>
      <vt:lpstr>priv.gr.clients.o</vt:lpstr>
      <vt:lpstr>priv.gr.cities</vt:lpstr>
      <vt:lpstr>priv.gr.date</vt:lpstr>
      <vt:lpstr>sold_products</vt:lpstr>
      <vt:lpstr>date</vt:lpstr>
      <vt:lpstr>cilentsorders</vt:lpstr>
      <vt:lpstr>cities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Назерке Жамбыл</dc:creator>
  <cp:lastModifiedBy>Назерке Жамбыл</cp:lastModifiedBy>
  <dcterms:created xsi:type="dcterms:W3CDTF">2026-07-13T09:39:24Z</dcterms:created>
  <dcterms:modified xsi:type="dcterms:W3CDTF">2026-07-14T15:23:57Z</dcterms:modified>
</cp:coreProperties>
</file>